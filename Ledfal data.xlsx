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rvatulik\Downloads\"/>
    </mc:Choice>
  </mc:AlternateContent>
  <xr:revisionPtr revIDLastSave="0" documentId="8_{003BED78-2AA8-4487-B745-C255F9A7629C}" xr6:coauthVersionLast="47" xr6:coauthVersionMax="47" xr10:uidLastSave="{00000000-0000-0000-0000-000000000000}"/>
  <bookViews>
    <workbookView xWindow="-108" yWindow="-108" windowWidth="23256" windowHeight="13896" xr2:uid="{315F7B52-F5C8-4D2A-9393-77BDB0EF8788}"/>
  </bookViews>
  <sheets>
    <sheet name="BMC Magyarország térké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1" l="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tc={30A8DC5D-C412-4183-8F02-12323A379FC4}</author>
    <author>tc={DBFBE5CB-3DF4-412E-A6F4-EC0DF66A3FB6}</author>
    <author>tc={1800FD6B-FEBC-4670-8F43-0AD4503C4EC5}</author>
    <author>tc={49192A95-DCB3-408F-9FB0-A278231E569E}</author>
  </authors>
  <commentList>
    <comment ref="H1" authorId="0" shapeId="0" xr:uid="{30A8DC5D-C412-4183-8F02-12323A379FC4}">
      <text>
        <t xml:space="preserve">[Threaded comment]
Your version of Excel allows you to read this threaded comment; however, any edits to it will get removed if the file is opened in a newer version of Excel. Learn more: https://go.microsoft.com/fwlink/?linkid=870924
Comment:
    Nem jelenítjük meg
</t>
      </text>
    </comment>
    <comment ref="L1" authorId="1" shapeId="0" xr:uid="{DBFBE5CB-3DF4-412E-A6F4-EC0DF66A3FB6}">
      <text>
        <t>[Threaded comment]
Your version of Excel allows you to read this threaded comment; however, any edits to it will get removed if the file is opened in a newer version of Excel. Learn more: https://go.microsoft.com/fwlink/?linkid=870924
Comment:
    Nem jelenítjük meg</t>
      </text>
    </comment>
    <comment ref="M1" authorId="2" shapeId="0" xr:uid="{1800FD6B-FEBC-4670-8F43-0AD4503C4EC5}">
      <text>
        <t>[Threaded comment]
Your version of Excel allows you to read this threaded comment; however, any edits to it will get removed if the file is opened in a newer version of Excel. Learn more: https://go.microsoft.com/fwlink/?linkid=870924
Comment:
    Nem jelenítjük meg</t>
      </text>
    </comment>
    <comment ref="N1" authorId="3" shapeId="0" xr:uid="{49192A95-DCB3-408F-9FB0-A278231E569E}">
      <text>
        <t xml:space="preserve">[Threaded comment]
Your version of Excel allows you to read this threaded comment; however, any edits to it will get removed if the file is opened in a newer version of Excel. Learn more: https://go.microsoft.com/fwlink/?linkid=870924
Comment:
    Nem jelenítjük meg
</t>
      </text>
    </comment>
  </commentList>
</comments>
</file>

<file path=xl/sharedStrings.xml><?xml version="1.0" encoding="utf-8"?>
<sst xmlns="http://schemas.openxmlformats.org/spreadsheetml/2006/main" count="323" uniqueCount="170">
  <si>
    <t>Cég</t>
  </si>
  <si>
    <t>BMC nyertes (év)</t>
  </si>
  <si>
    <t>Hányszoros BMC nyertes</t>
  </si>
  <si>
    <t>Vezető iparág</t>
  </si>
  <si>
    <t>Székhely</t>
  </si>
  <si>
    <t>Alapítás éve</t>
  </si>
  <si>
    <t>2025-ös nettó árbevétel (e Ft)</t>
  </si>
  <si>
    <t>Létszám</t>
  </si>
  <si>
    <t>Rövid bemutatkozás</t>
  </si>
  <si>
    <t>Korábbi gála fotó róluk</t>
  </si>
  <si>
    <t>Megye</t>
  </si>
  <si>
    <t>Régió</t>
  </si>
  <si>
    <t>ALPHAVET Zrt.</t>
  </si>
  <si>
    <t>x</t>
  </si>
  <si>
    <t>Állategészségügy, állatgyógyászati termékek</t>
  </si>
  <si>
    <t>Budapest</t>
  </si>
  <si>
    <t>1194 Budapest, Hofherr Albert utca 42.</t>
  </si>
  <si>
    <t>Közép-Magyarország</t>
  </si>
  <si>
    <t>Az ALPHAVET több mint 30 éve foglalkozik állatgyógyászati termékek, állateledelek és felszerelések fejlesztésével, gyártásával és forgalmazásával, kiemelten figyelve az élelmiszerbiztonságra és az agrárium fejlődésére. Tevékenységünk során arra törekszünk, hogy olyan innovatív megoldásokat kínáljunk, amelyek támogatják az állatok egészségét és jóllétét, ezáltal biztosítva a fenntartható mezőgazdasági termelést és az egészséges táplálékláncot. Az ALPHAVET termékei, legyen szó takarmánykiegészítőkről vagy állatorvosi készítményekről, a legmagasabb minőségi és biztonsági előírásoknak megfelelően készülnek. Az innováció és a fenntarthatóság központi szerepet játszik munkánkban, amely Magyarország és a régió agráriumának megbízható partnerévé tesz minket.</t>
  </si>
  <si>
    <t>BioTechUSA-cégcsoport</t>
  </si>
  <si>
    <t>Étrend-kiegészítők, sporttáplálkozás, élelmiszeripar</t>
  </si>
  <si>
    <t>1033 Budapest, Huszti út 60.</t>
  </si>
  <si>
    <t>A magyar tulajdonú BioTechUSA Cégcsoport Európa egyik vezető étrend-kiegészítő és speciális élelmiszer gyártója és forgalmazója. Több évtizedes fejlődése során nemzetközi vállalatcsoporttá vált, amely termékeivel és szakértelmével emberek millióit támogatja az egészségesebb és aktívabb életmód elérésében világszerte.</t>
  </si>
  <si>
    <t>CÉH zRt.</t>
  </si>
  <si>
    <t>Építőipari tervezés és mérnöki szolgáltatások</t>
  </si>
  <si>
    <t>1112 Budapest, Dió utca 3-5.</t>
  </si>
  <si>
    <t xml:space="preserve">A CÉH ma 220 munkatársat foglalkoztat, akik közül 200-an rendelkeznek mérnöki mesterdiplomával. Több mint 180 együttműködő partnerünkkel együtt évente körülbelül 150 projekten dolgozunk, és évente 2 milliárd EUR projektértéket kezelünk. Munkánkkal jövőt építünk a mai és az elkövetkező generációk számára. A korszerű digitális technológiák lehetőségeivel élve élen járunk a fenntartható fejlődésben és a fejlesztésben. Tudásunk megosztásával segítjük partnereinket, szakmai környezetünket és meghatározó magyarországi mérnök szereplőként egyre növekvő nemzetközi partnerségre és jelenlétre törekszünk. </t>
  </si>
  <si>
    <t>Cerbona</t>
  </si>
  <si>
    <t>Élelmiszeripar (gabonapelyhek, müzlik)</t>
  </si>
  <si>
    <t>1037 Budapest, Montevideo utca 7.</t>
  </si>
  <si>
    <t>1988 óta van jelen a magyar élelmiszerpiacon, termékeit székesfehérvári gyárában állítja elő. Piacvezető müzliszelet-gyártóként a müzlik, zabtermékek és funkcionális termékek terén kiépített széles portfóliójával önálló szegmenseket teremtett meg, mint pédául a gluténmentes kategória. Termékei a hazai piac mellett számos külföldi országba is eljutnak.</t>
  </si>
  <si>
    <t>Dorko</t>
  </si>
  <si>
    <t>Kiskereskedelem, sport- és divatáru</t>
  </si>
  <si>
    <t>1038 Budapest, Tündérliget utca 2.</t>
  </si>
  <si>
    <t>A Dorko az egyik legismertebb magyar streetwear és sportmárka, amely a hazai kreativitásra, önkifejezésre és közösségépítésre építi működését. A márka célja, hogy inspirálja a magyar tehetségeket, miközben termékein és társadalmi kezdeményezésein keresztül pozitív hatást gyakorol a közösségekre.</t>
  </si>
  <si>
    <t>DM-KER Nyrt.</t>
  </si>
  <si>
    <t>Mezőgazdasági gépkereskedelem és gépszerviz</t>
  </si>
  <si>
    <t>Pest</t>
  </si>
  <si>
    <t>2310 Szigetszentmiklós, Csepeli út 52.</t>
  </si>
  <si>
    <t>A DM-KER Nyrt. száz százalékban magyar tulajdonú vállalat, amely mezőgazdasági és építőipari gépek forgalmazásával, szervizelésével és bérbeadásával foglalkozik. Dinamikus fejlődésének és szakmai elkötelezettségének köszönhetően meghatározó szereplővé vált a hazai gépkereskedelmi piacon.</t>
  </si>
  <si>
    <t>Dorsum Zrt.</t>
  </si>
  <si>
    <t>Pénzügyi szoftverfejlesztés, fintech</t>
  </si>
  <si>
    <t>1012 Budapest, Logodi utca 5-7. 3. em. 18.</t>
  </si>
  <si>
    <t>A Dorsum Zrt. vezető európai pénzügyi szoftverfejlesztő vállalat, amely innovatív technológiai megoldásokkal támogatja a befektetési és vagyonkezelési szektort. Közel három évtizedes tapasztalatával, több országban jelen lévő szakértői csapatával hozzájárul a pénzügyi szolgáltatások digitalizációjához és modernizációjához.</t>
  </si>
  <si>
    <t>Goodwill Pharma Nyrt.</t>
  </si>
  <si>
    <t>Gyógyszeripar</t>
  </si>
  <si>
    <t>Csongrád-Csanád</t>
  </si>
  <si>
    <t>6724 Szeged Cserzy Mihály utca 32.</t>
  </si>
  <si>
    <t>Dél-Alföld</t>
  </si>
  <si>
    <t>A Goodwill Pharma Nyrt. 1997-ben alapított, szegedi központú, Standard tőzsdei kategóriában jegyzett magyar gyógyszeripari vállalat, amely közel három évtized alatt regionális szereplővé fejlődött. Integrált működése a termékfejlesztéstől és gyártástól a disztribúción és marketingen át a piacra jutás támogatásáig ível. Portfóliója több mint 200 gyógyszert, étrend-kiegészítőt és orvostechnikai eszközt foglal magában, saját érdekeltségei pedig 12 országban vannak jelen. A vállalat a növekedésének következő szakaszát többek között új szegedi GMP gyógyszerüzemmel, K+F és gyártólaboratóriummal, valamint megnövelt logisztikai kapacitással alapozta meg. A Goodwill Pharma nevéhez fűződik a Szent-Györgyi Albert termékcsalád is, miközben kutatási és fejlesztési fókuszában egyre hangsúlyosabban jelennek meg az életminőség és az egészségtartam javítását célzó megoldások.</t>
  </si>
  <si>
    <t>H1 Systems Mérnöki Szolgáltatások Kft.</t>
  </si>
  <si>
    <t>IT infrastruktúra és rendszerintegráció</t>
  </si>
  <si>
    <t xml:space="preserve">1117, Budapest, Budafoki út 62. </t>
  </si>
  <si>
    <t>A hazai Best Managed Companies programban kezdetek óta résztvevő vállalat az elmúlt évben tovább növelte árbevételét és eredményét, szaktudásával pedig kiemelt vállalatok és közületek digitális rendszereit tartja folyamatos működésben. A H1 Systems a jövőben is arra törekszik, hogy a magas hozzáadott értékű adatközponti és épülettechnológiai megoldások legmegbízhatóbb szolgáltatója legyen.</t>
  </si>
  <si>
    <t>HELL ENERGY Magyarország Kft.</t>
  </si>
  <si>
    <t>Italgyártás (energiaitalok)</t>
  </si>
  <si>
    <t>1062 Budapest, Andrássy út 126.</t>
  </si>
  <si>
    <t>A 100%-ban magyar tulajdonú HELL ENERGY a hazai alkoholmentes italipar meghatározó szereplője, termékei több mint 60 országban érhetők el. Portfóliója energiaitalokat, jegeskávékat, jegesteákat, üdítőitalokat és más alkoholmentes italokat foglal magában. A vállalat saját szikszói töltőüzemmel és alumíniumitaldoboz-gyárral rendelkezik, cégcsoportja több mint 2500 embernek ad munkát.</t>
  </si>
  <si>
    <t>Hidrofilt Vízkezelést Tervező és Kivitelező Kft.</t>
  </si>
  <si>
    <t>Vízkezelési technológia és környezetipar</t>
  </si>
  <si>
    <t>Zala</t>
  </si>
  <si>
    <t>8800 Nagykanizsa, Magyar u. 191.</t>
  </si>
  <si>
    <t>Nyugat-Dunántúl</t>
  </si>
  <si>
    <t>A Hidrofilt Csoport 1990 óta tevékenykedik a vízkezelés területén. Egyedi, komplex technológiai megoldásokat fejleszt és valósít meg a tervezéstől a kivitelezésen át a szervizig. Saját mérnöki és gyártási kapacitására építve teljes körű szolgáltatást biztosít, hazai és nemzetközi piacokon.</t>
  </si>
  <si>
    <t>Hunland Csoport</t>
  </si>
  <si>
    <t>Agrárlogisztika és állatkereskedelem</t>
  </si>
  <si>
    <t>2347 Bugyi, Alsóráda puszta 13.</t>
  </si>
  <si>
    <t>Az 1992-ben alapított Hunland Csoport az élőállat-kereskedelem, az állattenyésztés és a mezőgazdasági szolgáltatások nemzetközileg elismert szereplője. A vállalat a fenntarthatóság, az állatjólét és a hosszú távú partneri kapcsolatok iránti elkötelezettségével vált a hazai és európai agrárszektor meghatározó vállalkozásává.</t>
  </si>
  <si>
    <t>K &amp; V Nemzetközi Fuvarozó Kft.</t>
  </si>
  <si>
    <t>Nemzetközi fuvarozás és logisztika</t>
  </si>
  <si>
    <t>Heves</t>
  </si>
  <si>
    <t>3200 Gyöngyös, Déli Külhatár u. 10–12.</t>
  </si>
  <si>
    <t>Észak-Magyarország</t>
  </si>
  <si>
    <t>A közel 600 munkatársat foglalkoztató K&amp;V több mint 500 járműből álló flottát és 20 000 m² raktárkapacitást üzemeltet 3 telephelyen. Innovatív, szolgáltatásközpontú szemléletmódja és rugalmas, megoldásfókuszú hozzáállása révén stabil partnere belföldi és multinacionális megbízóinak. A kezdetektől aktívan tesz a fenntarthatóságért, a munkavállalói elégedettségéért és a régióban élők jólétéért.</t>
  </si>
  <si>
    <t>Kermann IT Solutions Nyrt.</t>
  </si>
  <si>
    <t>Informatikai szolgáltatások és rendszerintegráció</t>
  </si>
  <si>
    <t>1139 Budapest, Röppentyű u. 48.</t>
  </si>
  <si>
    <t>A Kermann IT Solutions Nyrt. a hazai IT-infrastruktúra és kapcsolódó szolgáltatások piacának egyik vezető szolgáltatója, amely közel tíz éve nyújt komplex megoldásokat ügyfeleinek. A Budapesti Értéktőzsde Xtend piacán jegyzett vállalatként stabil pénzügyi háttérrel és folyamatos innovációval támogatja partnereit, hogy biztonságos és hatékony informatikai működést érjenek el.</t>
  </si>
  <si>
    <t>Márka Üdítőgyártó Kft.</t>
  </si>
  <si>
    <t>Üdítőital-gyártás</t>
  </si>
  <si>
    <t>Bács-Kiskun</t>
  </si>
  <si>
    <t>6055 Felsőlajos, MÁRKA Ipartelep 1.</t>
  </si>
  <si>
    <t>A Márka Üdítőgyártó Kft. magyar, családi tulajdonú italgyártó vállalat, széles alkoholmentes italportfólióval. Saját márkái – többek között a Márka, a Traubisoda, az Adrenalin és a Gyöngy – mellett folyamatos termékfejlesztéssel és modern gyártási háttérrel szolgálja ki a hazai és nemzetközi piacokat.</t>
  </si>
  <si>
    <t xml:space="preserve">Merkapt Zrt. </t>
  </si>
  <si>
    <t>Épületgépészeti kereskedelem</t>
  </si>
  <si>
    <t>1106 Budapest, Maglódi út 14/B.</t>
  </si>
  <si>
    <t>A Merkapt Zrt. 1991-ben alapított, 100%-ban magyar tulajdonú, mérnöki alapokon nyugvó vállalat országosan 11 értékesítési ponttal. Kis- és nagykereskedelemben kínál teljes körű épületgépészeti termékeket, hagyományos gépészeti anyagokat, fűtési-hűtési rendszereket, segédanyagokat, szakmai tanácsadással támogatja szakmai partnereit és a lakossági ügyfeleket egyaránt, küldetésünk, hogy a tervezéstől a megvalósításig megbízható partnerként számíthassanak ránk.</t>
  </si>
  <si>
    <t xml:space="preserve">MOGYI Kft. </t>
  </si>
  <si>
    <t>Élelmiszeripar (snackgyártás)</t>
  </si>
  <si>
    <t>6500 Baja, Napraforgó utca 1.</t>
  </si>
  <si>
    <t xml:space="preserve">A MOGYI Kft. egy 100%-ban magyar tulajdonú nemzetközi cégcsoport. Kezdetben olajos magvak gyártásával és értékesítésével foglalkozott, mára már egy integrált snack céggé fejlődött folyamatosan bővülő portfólióval. A teljes gyártás Magyarországon zajlik, innen több mint 30 országba exportál, miközben szilárdan őrzi bajai gyökerét és elkötelezetten támogatja a hazai élelmiszeripar fejlődését. A foglalkoztatottak száma meghaladja a 750 főt. </t>
  </si>
  <si>
    <t>Petrányi Autó Kft.</t>
  </si>
  <si>
    <t>Autókereskedelem és autószolgáltatások</t>
  </si>
  <si>
    <t>1106 Budapest, Kerepesi út 105.</t>
  </si>
  <si>
    <t>A Petrányi Cégcsoport a hazai mobilitási piac meghatározó szereplője, fejlődését a hosszú távú partneri szemlélet, az ügyféligények iránti nyitottság és a folyamatos megújulás határozza meg. A Petrányi Autó az évtizedek alatt sikeres Ford-képviseletből többmárkás autókereskedelmi szereplővé fejlődött, amely többek között a Kia, a BYD, az OMODA és a JAECOO márkákon keresztül reagál a piac és az ügyfelek változó mobilitási elvárásaira. A márkafüggetlen Next Auto teljes körű flottakezelési, tartósbérleti és vállalati mobilitási szolgáltatásokkal támogatja partnereit, míg a Next Car Rental rövid és hosszú távú autóbérlési megoldásokkal teszi teljessé a cégcsoport mobilitási portfólióját.</t>
  </si>
  <si>
    <t>Planning &amp; Trading Kft.</t>
  </si>
  <si>
    <t>Ingatlanfejlesztés és befektetés</t>
  </si>
  <si>
    <t xml:space="preserve">1084 Budapest Rákóczi tér 2. </t>
  </si>
  <si>
    <t>A Planning &amp; Trading Kft. a magyar klíma- és konyhatechnikai piac meghatározó nagykereskedelmi szereplője. Több mint két évtizedes tapasztalatával, kiterjedt partnerhálózatával és magas színvonalú logisztikai szolgáltatásaival megbízható partnere a szakmai közösségnek és viszonteladóinak.</t>
  </si>
  <si>
    <t>Prime Rate Zrt.</t>
  </si>
  <si>
    <t>Biztosításközvetítés és pénzügyi tanácsadás</t>
  </si>
  <si>
    <t>1044 Budapest, Megyeri út 53.</t>
  </si>
  <si>
    <t>A Prime Rate Zrt. egy 30 éve alapított, budapesti központú, a digitális és az íves ofszet nyomtatás területén működő, komplett nyomdai megoldásokat biztosító vállalkozás; partnerei magyar, német és francia nyelvterületen működő könyvkiadók, iparvállalatok, bankok, szolgáltató és kereskedelmi cégek. A vállalat magas minőségben gyárt  marketinganyagokat, nyomtatványokat, használati útmutatókat, kis és közepes példányszámban könyveket, egyedi tervezésű díszdobozokat. Alapvető törekvése, hogy partnerei számára ne csupán a terméket, hanem a megoldást is szállítsa, továbbá nagy hangsúlyt fektet a minőségi és környezettudatos működésre.</t>
  </si>
  <si>
    <t>PROPHYL Holding Zrt.</t>
  </si>
  <si>
    <t>Egészségipar, orvostechnológia</t>
  </si>
  <si>
    <t>Baranya</t>
  </si>
  <si>
    <t>7700 Mohács Dózsa Gy. 18.</t>
  </si>
  <si>
    <t>Dél-Dunántúl</t>
  </si>
  <si>
    <t>A Prophyl az SPF tojások termelése mellett állategészségügyi integrált fejlesztési és gyártási szolgáltatásokat nyújt. A kutatás-fejlesztés és diagnosztika, a laboratóriumi vizsgálatok, valamint a telepspecifikus vakcina, antigének, ellenanyagok és más biológiai alapanyagok előállítása a legmagasabb szakmai háttérrel történik. A cégcsoport szállítmányozási vállalata, az OVOGO Kft. a gyógyszeripari Suply-Chain rendszer fontos szereplője Európában.</t>
  </si>
  <si>
    <t>Qualysoft Informatikai Zrt.</t>
  </si>
  <si>
    <t>Informatikai tanácsadás és szoftverfejlesztés</t>
  </si>
  <si>
    <t>1118 Budapest, Rétköz utca 5.</t>
  </si>
  <si>
    <t>A Qualysoft Informatikai Zrt. nemzetközi háttérrel rendelkező informatikai tanácsadó és szoftverfejlesztő vállalat. Több mint 25 éve támogatja ügyfeleit innovatív technológiai megoldásokkal, digitális transzformációs projektek megvalósításával és üzleti értéket teremtő informatikai szolgáltatásokkal</t>
  </si>
  <si>
    <t>RotaPack Csomagolástechnikai Zrt.</t>
  </si>
  <si>
    <t>Csomagolóipar</t>
  </si>
  <si>
    <t>6728 Szeged, Dorozsmai út 35.</t>
  </si>
  <si>
    <t xml:space="preserve">A RotaPack Zrt. egy több mint 30 éves múltra visszatekintő magyar családi vállalkozás. Fő profilja ipari stretch és zsugor fóliák gyártása. A szegedi üzemükben előállított termékeik Európa szerte segítik elő a legnagyobb multinacionális nagyvállalatok, sörgyárak, logisztikai cégek, ásványvíz-, üdítőgyártó üzemek és még számtalan különböző ipari szereplő termékeinek szállítmányozását és árumozgatását. </t>
  </si>
  <si>
    <t>Sanatmetal Kft.</t>
  </si>
  <si>
    <t>Orvostechnikai eszközgyártás</t>
  </si>
  <si>
    <t>3300 Eger Faiskola utca 5.</t>
  </si>
  <si>
    <t>A közel 60 éves múlttal rendelkező Sanatmetal Kft. Magyarország egyik meghatározó orvostechnikai gyártója. Traumatológiai, ortopédiai, gerincsebészeti és fogászati implantátumokat, valamint sebészeti eszközöket fejleszt és gyárt és értékesít. Termékei több mint 45 országban támogatják az egészségügyi szakemberek munkáját.</t>
  </si>
  <si>
    <t xml:space="preserve">Schiller Autó Család </t>
  </si>
  <si>
    <t>Autókereskedelem és mobilitási szolgáltatások</t>
  </si>
  <si>
    <t>1133 Budapest, Dráva utca 17.</t>
  </si>
  <si>
    <t xml:space="preserve">2026 is számtalan izgalmat tartogatott a Schiller Autó Család számára, ugyanis az idei tavasztól már a Geely márka értékesítésével is foglalkozunk váci úti telephelyünkön, valamint a Pólus Centerben. A Schiller Autó Család alapítása egészen 1980-ig nyúlik vissza, 3 generációs családi vállalkozásként  BYD, Geely, Lexus, Skoda és Toyota autók értékesítésével, valamint 10 márka szervizelésével, márkától független bérautó, flottakezelő, karosszéria javító és használtautó üzletágával fedi le ügyfeleinek autós igényeit A-Z-ig. </t>
  </si>
  <si>
    <t>Semsei Gastronomy Group</t>
  </si>
  <si>
    <t>Vendéglátás és étteremüzemeltetés</t>
  </si>
  <si>
    <t>1061 Budapest, Paulay Ede utca 7. *</t>
  </si>
  <si>
    <t>A Semsei Gastronomy ernyőmárka 2024-ben született meg azzal a céllal, hogy keretbe foglalja a cégcsoport üzletágait: a VakVarjú éttermeket, a Dobay Cukrászdát, a Budapest Party Service rendezvénygasztronómiai vállalatot, a Puli és Juhász csárdát és biergartent, és az önkiszolgáló éttermeket és társadalmi kezdeményezéseiket. Ez nemcsak új fejezetet nyitott a történetükben, hanem lehetőséget adott arra is, hogy még átláthatóbban, hatékonyabban képviseljék értékeiket – a vendégközpontúságot, a minőséget és a stílusos vendéglátást.</t>
  </si>
  <si>
    <t>Simon Plastics Kft.</t>
  </si>
  <si>
    <t>Műanyagipar, fröccsöntés</t>
  </si>
  <si>
    <t>Fejér</t>
  </si>
  <si>
    <t>8152 Kőszárhegy, Kandó K. u. 2.</t>
  </si>
  <si>
    <t>Közép-Dunántúl</t>
  </si>
  <si>
    <t>A Simon Plastics Kft. egy 100 %-ban magyar, családi tulajdonban levő dinamikus, műanyagfeldolgozással foglalkozó vállalat 75 fröccsöntőgéppel 10 milliárd Ft feletti árbevétellel, közel 400 dolgozóval Székesfehérvár közelében, Kőszárhegyen. Elsősorban autóipari – köztük OEM -  megrendelők számára kínál magas minőségű műszaki műanyag alkatrészeket és termékeket. Az innovációra és minőségre való fókuszált hozzáállásuk révén az autóiparban megbízható, megkerülhetetlen stratégiai beszállítóvá váltak. Kiváló szaktudással és modern gyártási folyamatokkal rendelkeznek, lehetővé téve számukra, hogy testreszabott megoldásokat nyújtsanak ügyfeleik egyedi igényeihez. A Simon Plastics Kft. elkötelezett az ügyfél elégedettség és a fenntarthatóság iránt, mindemellett magas szintű szakértelemmel és tapasztalattal rendelkezik a műanyagiparban. Legfontosabb vevői a VW csoport, a TE Connectivity, a Harman, a PSS, a Denso, az Osram, a BorgWarner, a Groupo Antolin, a Veolia és a ZF.</t>
  </si>
  <si>
    <t>Tolnagro Csoport</t>
  </si>
  <si>
    <t>Mezőgazdaság és agrárintegráció</t>
  </si>
  <si>
    <t>Tolna</t>
  </si>
  <si>
    <t xml:space="preserve">7100 Szekszárd, Rákóczi utca 142–146. </t>
  </si>
  <si>
    <t>A Tolnagro Csoport Magyarország piacvezető állatgyógyászati nagyvállalata. 30 év tapasztalatával, saját fejlesztéseinkkel és országos csapatunkkal nap mint nap azért dolgozunk, hogy az állatgyógyászatban mi legyünk az első számú választás minden állatorvos és állattartó számára. Saját gyógyszergyárunk, laborunk és K+F tevékenységeink biztosítják Partnereink számára a szakmai kiválóságot, valamint a gyors, rugalmas és folyamatos kiszolgálást.</t>
  </si>
  <si>
    <t>TOM-FERR Zrt.</t>
  </si>
  <si>
    <t>Acélkereskedelem és fémipar</t>
  </si>
  <si>
    <t>1211 Budapest, Acélcső utca 2–20.</t>
  </si>
  <si>
    <t>1994-ben alapított, éves közel 30 millió euró forgalommal rendelkező magántulajdonban lévő Tom-Ferr Zrt. három divíziójával lefedi a regionális acélcső gyártást, kereskedést és megmunkálást. 
A budapesti központ 6000 tonna álandó cső készletével Magyarország vezető acélcső nagykereskedése, míg 2008-ban történt Tom-Ferr Automotive Zrt. gyárszegmens megnyitásával a cég éves 15 millió darab terméket gyárt és szolgáltat a nemzetközi autóipari piac számára. 
2019-ben a cég elindította a saját szalag hasítását és hegesztett acélcső gyártását a zöld beruházásos IPAR 4.0 irányítású automatizált tatai gyárában.</t>
  </si>
  <si>
    <t xml:space="preserve">TUTTI Kft. </t>
  </si>
  <si>
    <t>Élelmiszeripar (élelmiszer-alapanyagok, instant termékek)</t>
  </si>
  <si>
    <t>Győr-Moson-Sopron</t>
  </si>
  <si>
    <t>9142 Rábapatona, Pinkerét</t>
  </si>
  <si>
    <t>A 40 éves TUTTI por alapú élelmiszereket fejleszt és gyárt. Innovatív, minőségi megoldásokat kínál fogyasztói és B2B piacokra, saját márkás, private label és egyedi termékekkel. A 100%-ban magyar tulajdonú vállalat középpontjában az ember áll. Tapasztalt menedzsmentje csapatmunkára, rugalmasságra és fejlődésre épít, hosszú távon támogatva partnerei sikerét.</t>
  </si>
  <si>
    <t xml:space="preserve">UBM Csoport </t>
  </si>
  <si>
    <t>Takarmányipar és agrárintegráció</t>
  </si>
  <si>
    <t>2085 Pilisvörösvár, Kisvasút utca 1.</t>
  </si>
  <si>
    <t>Az UBM Csoport már 30 éve meghatározó szereplője a hazai és regionális takarmányiparnak. Magyarország piacvezető keveréktakarmány-gyártójaként és takarmány-alapanyag nagykereskedőjeként jelentős termelőkapacitásokkal rendelkezünk, miközben exporttevékenységünk több mint 20 országra terjed ki. Széles termékportfóliónkkal a nagyüzemi állattartás valamennyi takarmányozási igényére megoldást kínálunk, hozzájárulva partnereink eredményes és fenntartható termeléséhez. 
Több, mint 550 munkatársunkkal együtt azon dolgozunk, hogy partnereinkkel tartós szövetséget építsünk és működtessünk, melyek minden résztvevő számára további előnyöket és hosszútávú stabilitást biztosítanak. 
Céljainkat minőségi termékekkel, folyamatos innovációval, magasan képzett tanácsadói körrel és egyéb szolgáltatásokkal tudjuk elérni. A kapcsolatorientált üzleti magatartás, a tisztesség, a megbízhatóság és a közösségi szellem egyaránt fontos hitvallása cégünknek.</t>
  </si>
  <si>
    <t>Újház Zrt.</t>
  </si>
  <si>
    <t>Építőanyag-kereskedelem</t>
  </si>
  <si>
    <t xml:space="preserve">9094 Tápszentmiklós, Fő utca 53. </t>
  </si>
  <si>
    <t>Az Újház Magyarország egyik piacvezető építőanyag-kereskedelmi hálózataként, országos lefedettséggel és széles termékválasztékkal. Kereskedéseiben az építkezés és felújítás számos területére kínál megoldásokat, szakértő kiszolgálással támogatva a vásárlókat terveik megvalósításában.</t>
  </si>
  <si>
    <t>Vajda-Papír Csoport</t>
  </si>
  <si>
    <t>Papíripar és higiéniai termékek gyártása</t>
  </si>
  <si>
    <t xml:space="preserve">2330 Dunaharaszti, Némedi út 51. </t>
  </si>
  <si>
    <t xml:space="preserve">A magyar tulajdonban lévő Vajda-Papír Csoport 27 éve alakult családi vállalkozásként, csoportszinten közel 1000 munkavállalót foglalkoztat négy magyarországi és egy norvégiai gyárában. A cégcsoport a hazai kereslet közel 60%-át állítja elő, a termelés 60%-át külföldre szállítja, a vállalat Ooops! márkájú és a sajátmárkás higiéniai papírtermékeit a világ több mint 35 országába szállítják.  </t>
  </si>
  <si>
    <t>Vöröskő Kft. (Euronics)</t>
  </si>
  <si>
    <t>Műszaki elektronikai kiskereskedelem</t>
  </si>
  <si>
    <t>Veszprém</t>
  </si>
  <si>
    <t>8200 Veszprém, Pápai út 36.</t>
  </si>
  <si>
    <t>Az Euronics - Vöröskő Kft. több mint három évtizede sikeresen működő, 100%-ban magyar tulajdonú családi vállalkozás. A vállalat a digitális és hagyományos kereskedelmet sikeresen integrálva vált a hazai műszaki kiskereskedelem egyik meghatározó szereplőjévé, miközben Magyarország legnagyobb forgalmú magyar tulajdonú e-kereskedelmi platformját építette fel. Vezetése az innovációra és az emberközpontúságra épít.</t>
  </si>
  <si>
    <t>Wagner Solar Hungária Kft.</t>
  </si>
  <si>
    <t>Megújuló energia, napelemes rendszerek</t>
  </si>
  <si>
    <t>2100 Gödöllő, Telkes Mária krt. 48.</t>
  </si>
  <si>
    <t>A Wagner Solar Hungária Kft. 2002 óta nyújt komplex energiahatékonysági megoldásokat cégeknek és magánszemélyeknek. A tervezéstől és finanszírozástól a kivitelezésig teljes körűen támogatjuk ügyfeleinket napelemes, energiatárolós, hőszivattyús és egyéb megújulóenergia-rendszerek megvalósításában.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</si>
</sst>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horizontal="center" vertical="center"/>
    </xf>
    <xf numFmtId="0" fontId="0" fillId="2" borderId="0" xfId="0" applyFill="1" applyAlignment="1">
      <alignment horizontal="center" vertical="center"/>
    </xf>
    <xf numFmtId="3" fontId="0" fillId="0" borderId="0" xfId="0" applyNumberFormat="1"/>
    <xf numFmtId="0" fontId="1" fillId="2" borderId="0" xfId="0" applyFont="1" applyFill="1" applyAlignment="1">
      <alignment horizontal="center"/>
    </xf>
    <xf numFmtId="0" fontId="0" fillId="0" borderId="0" xfId="0" applyAlignment="1">
      <alignment wrapText="1"/>
    </xf>
    <xf numFmtId="0" fontId="1" fillId="2" borderId="0" xfId="0" applyFont="1" applyFill="1"/>
    <xf numFmtId="0" fontId="1" fillId="4" borderId="0" xfId="0" applyFont="1" applyFill="1"/>
    <xf numFmtId="0" fontId="1" fillId="2" borderId="0" xfId="0" applyFont="1" applyFill="1" applyAlignment="1">
      <alignment horizontal="center" vertical="center"/>
    </xf>
    <xf numFmtId="0" fontId="1" fillId="2" borderId="0" xfId="0" applyFont="1" applyFill="1" applyAlignment="1">
      <alignment horizontal="center"/>
    </xf>
    <xf numFmtId="0" fontId="1" fillId="3" borderId="0" xfId="0" applyFont="1" applyFill="1" applyAlignment="1">
      <alignment horizontal="center" vertical="center"/>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ko, Johanna" id="{C9AEBDE8-A1F3-46F5-B654-1FDDF2696B72}" userId="S::jmiko@deloittece.com::db2c2143-2519-46b5-89ca-60f125a9c1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6-09-25T08:39:33.13" personId="{C9AEBDE8-A1F3-46F5-B654-1FDDF2696B72}" id="{30A8DC5D-C412-4183-8F02-12323A379FC4}">
    <text xml:space="preserve">Nem jelenítjük meg
</text>
  </threadedComment>
  <threadedComment ref="L1" dT="2026-09-25T08:37:30.01" personId="{C9AEBDE8-A1F3-46F5-B654-1FDDF2696B72}" id="{DBFBE5CB-3DF4-412E-A6F4-EC0DF66A3FB6}">
    <text>Nem jelenítjük meg</text>
  </threadedComment>
  <threadedComment ref="M1" dT="2026-09-25T08:37:58.07" personId="{C9AEBDE8-A1F3-46F5-B654-1FDDF2696B72}" id="{1800FD6B-FEBC-4670-8F43-0AD4503C4EC5}">
    <text>Nem jelenítjük meg</text>
  </threadedComment>
  <threadedComment ref="N1" dT="2026-09-25T08:38:02.08" personId="{C9AEBDE8-A1F3-46F5-B654-1FDDF2696B72}" id="{49192A95-DCB3-408F-9FB0-A278231E569E}">
    <text xml:space="preserve">Nem jelenítjük meg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1092-C9DB-47A2-BFBE-C5EB8DDD5C57}">
  <dimension ref="A1:P37"/>
  <sheetViews>
    <sheetView tabSelected="1" zoomScale="91" zoomScaleNormal="100" workbookViewId="0">
      <pane xSplit="1" topLeftCell="I1" activePane="topRight" state="frozen"/>
      <selection pane="topRight" activeCell="A23" sqref="A23"/>
    </sheetView>
  </sheetViews>
  <sheetFormatPr defaultRowHeight="14.45"/>
  <cols>
    <col min="1" max="1" width="74.42578125" bestFit="1" customWidth="1"/>
    <col min="7" max="7" width="25.7109375" customWidth="1"/>
    <col min="8" max="8" width="49.140625" bestFit="1" customWidth="1"/>
    <col min="9" max="12" width="21.28515625" customWidth="1"/>
    <col min="13" max="13" width="18.85546875" customWidth="1"/>
    <col min="14" max="14" width="21.28515625" customWidth="1"/>
    <col min="15" max="15" width="34.5703125" customWidth="1"/>
    <col min="16" max="16" width="21.85546875" customWidth="1"/>
  </cols>
  <sheetData>
    <row r="1" spans="1:16">
      <c r="A1" s="9" t="s">
        <v>0</v>
      </c>
      <c r="B1" s="9" t="s">
        <v>1</v>
      </c>
      <c r="C1" s="9"/>
      <c r="D1" s="9"/>
      <c r="E1" s="9"/>
      <c r="F1" s="9"/>
      <c r="G1" s="9" t="s">
        <v>2</v>
      </c>
      <c r="H1" s="11" t="s">
        <v>3</v>
      </c>
      <c r="I1" s="10" t="s">
        <v>4</v>
      </c>
      <c r="J1" s="10"/>
      <c r="K1" s="10"/>
      <c r="L1" s="11" t="s">
        <v>5</v>
      </c>
      <c r="M1" s="12" t="s">
        <v>6</v>
      </c>
      <c r="N1" s="11" t="s">
        <v>7</v>
      </c>
      <c r="O1" s="9" t="s">
        <v>8</v>
      </c>
      <c r="P1" s="9" t="s">
        <v>9</v>
      </c>
    </row>
    <row r="2" spans="1:16">
      <c r="A2" s="9"/>
      <c r="B2" s="3">
        <v>2026</v>
      </c>
      <c r="C2" s="3">
        <v>2025</v>
      </c>
      <c r="D2" s="3">
        <v>2024</v>
      </c>
      <c r="E2" s="3">
        <v>2023</v>
      </c>
      <c r="F2" s="3">
        <v>2022</v>
      </c>
      <c r="G2" s="9"/>
      <c r="H2" s="11"/>
      <c r="I2" s="5" t="s">
        <v>10</v>
      </c>
      <c r="J2" s="5"/>
      <c r="K2" s="5" t="s">
        <v>11</v>
      </c>
      <c r="L2" s="11"/>
      <c r="M2" s="12"/>
      <c r="N2" s="11"/>
      <c r="O2" s="9"/>
      <c r="P2" s="9"/>
    </row>
    <row r="3" spans="1:16">
      <c r="A3" s="7" t="s">
        <v>12</v>
      </c>
      <c r="B3" s="2" t="s">
        <v>13</v>
      </c>
      <c r="C3" s="2" t="s">
        <v>13</v>
      </c>
      <c r="D3" s="2" t="s">
        <v>13</v>
      </c>
      <c r="E3" s="2"/>
      <c r="F3" s="2"/>
      <c r="G3" s="2">
        <f>COUNTIF(B3:F3,"x")</f>
        <v>3</v>
      </c>
      <c r="H3" t="s">
        <v>14</v>
      </c>
      <c r="I3" t="s">
        <v>15</v>
      </c>
      <c r="J3" t="s">
        <v>16</v>
      </c>
      <c r="K3" t="s">
        <v>17</v>
      </c>
      <c r="L3">
        <v>1989</v>
      </c>
      <c r="M3" s="4">
        <v>56110</v>
      </c>
      <c r="N3">
        <v>620</v>
      </c>
      <c r="O3" t="s">
        <v>18</v>
      </c>
    </row>
    <row r="4" spans="1:16">
      <c r="A4" s="1" t="s">
        <v>19</v>
      </c>
      <c r="B4" s="2"/>
      <c r="C4" s="2"/>
      <c r="D4" s="2"/>
      <c r="E4" s="2" t="s">
        <v>13</v>
      </c>
      <c r="F4" s="2"/>
      <c r="G4" s="2">
        <f t="shared" ref="G4:G37" si="0">COUNTIF(B4:F4,"x")</f>
        <v>1</v>
      </c>
      <c r="H4" t="s">
        <v>20</v>
      </c>
      <c r="I4" t="s">
        <v>15</v>
      </c>
      <c r="J4" t="s">
        <v>21</v>
      </c>
      <c r="K4" t="s">
        <v>17</v>
      </c>
      <c r="L4">
        <v>1993</v>
      </c>
      <c r="M4" s="4"/>
      <c r="O4" t="s">
        <v>22</v>
      </c>
    </row>
    <row r="5" spans="1:16">
      <c r="A5" s="7" t="s">
        <v>23</v>
      </c>
      <c r="B5" s="2" t="s">
        <v>13</v>
      </c>
      <c r="C5" s="2" t="s">
        <v>13</v>
      </c>
      <c r="D5" s="2" t="s">
        <v>13</v>
      </c>
      <c r="E5" s="2" t="s">
        <v>13</v>
      </c>
      <c r="F5" s="2"/>
      <c r="G5" s="2">
        <f t="shared" si="0"/>
        <v>4</v>
      </c>
      <c r="H5" t="s">
        <v>24</v>
      </c>
      <c r="I5" t="s">
        <v>15</v>
      </c>
      <c r="J5" t="s">
        <v>25</v>
      </c>
      <c r="K5" t="s">
        <v>17</v>
      </c>
      <c r="L5">
        <v>1989</v>
      </c>
      <c r="M5" s="4">
        <v>11572</v>
      </c>
      <c r="N5">
        <v>200</v>
      </c>
      <c r="O5" t="s">
        <v>26</v>
      </c>
    </row>
    <row r="6" spans="1:16">
      <c r="A6" s="7" t="s">
        <v>27</v>
      </c>
      <c r="B6" s="2" t="s">
        <v>13</v>
      </c>
      <c r="C6" s="2"/>
      <c r="D6" s="2"/>
      <c r="E6" s="2"/>
      <c r="F6" s="2"/>
      <c r="G6" s="2">
        <f t="shared" si="0"/>
        <v>1</v>
      </c>
      <c r="H6" t="s">
        <v>28</v>
      </c>
      <c r="I6" t="s">
        <v>15</v>
      </c>
      <c r="J6" t="s">
        <v>29</v>
      </c>
      <c r="K6" t="s">
        <v>17</v>
      </c>
      <c r="L6">
        <v>1988</v>
      </c>
      <c r="M6" s="4"/>
      <c r="O6" t="s">
        <v>30</v>
      </c>
    </row>
    <row r="7" spans="1:16">
      <c r="A7" s="1" t="s">
        <v>31</v>
      </c>
      <c r="B7" s="2"/>
      <c r="C7" s="2"/>
      <c r="D7" s="2" t="s">
        <v>13</v>
      </c>
      <c r="E7" s="2"/>
      <c r="F7" s="2"/>
      <c r="G7" s="2">
        <f t="shared" si="0"/>
        <v>1</v>
      </c>
      <c r="H7" t="s">
        <v>32</v>
      </c>
      <c r="I7" t="s">
        <v>15</v>
      </c>
      <c r="J7" t="s">
        <v>33</v>
      </c>
      <c r="K7" t="s">
        <v>17</v>
      </c>
      <c r="L7">
        <v>1989</v>
      </c>
      <c r="M7" s="4"/>
      <c r="O7" t="s">
        <v>34</v>
      </c>
    </row>
    <row r="8" spans="1:16">
      <c r="A8" s="1" t="s">
        <v>35</v>
      </c>
      <c r="B8" s="2"/>
      <c r="C8" s="2"/>
      <c r="D8" s="2"/>
      <c r="E8" s="2" t="s">
        <v>13</v>
      </c>
      <c r="F8" s="2" t="s">
        <v>13</v>
      </c>
      <c r="G8" s="2">
        <f t="shared" si="0"/>
        <v>2</v>
      </c>
      <c r="H8" t="s">
        <v>36</v>
      </c>
      <c r="I8" t="s">
        <v>37</v>
      </c>
      <c r="J8" t="s">
        <v>38</v>
      </c>
      <c r="K8" t="s">
        <v>17</v>
      </c>
      <c r="L8">
        <v>2008</v>
      </c>
      <c r="M8" s="4"/>
      <c r="O8" t="s">
        <v>39</v>
      </c>
    </row>
    <row r="9" spans="1:16">
      <c r="A9" s="1" t="s">
        <v>40</v>
      </c>
      <c r="B9" s="2"/>
      <c r="C9" s="2" t="s">
        <v>13</v>
      </c>
      <c r="D9" s="2" t="s">
        <v>13</v>
      </c>
      <c r="E9" s="2" t="s">
        <v>13</v>
      </c>
      <c r="F9" s="2" t="s">
        <v>13</v>
      </c>
      <c r="G9" s="2">
        <f t="shared" si="0"/>
        <v>4</v>
      </c>
      <c r="H9" t="s">
        <v>41</v>
      </c>
      <c r="I9" t="s">
        <v>15</v>
      </c>
      <c r="J9" t="s">
        <v>42</v>
      </c>
      <c r="K9" t="s">
        <v>17</v>
      </c>
      <c r="L9">
        <v>1996</v>
      </c>
      <c r="M9" s="4">
        <v>9502</v>
      </c>
      <c r="N9">
        <v>246</v>
      </c>
      <c r="O9" t="s">
        <v>43</v>
      </c>
    </row>
    <row r="10" spans="1:16">
      <c r="A10" s="7" t="s">
        <v>44</v>
      </c>
      <c r="B10" s="2" t="s">
        <v>13</v>
      </c>
      <c r="C10" s="2" t="s">
        <v>13</v>
      </c>
      <c r="D10" s="2" t="s">
        <v>13</v>
      </c>
      <c r="E10" s="2"/>
      <c r="F10" s="2"/>
      <c r="G10" s="2">
        <f t="shared" si="0"/>
        <v>3</v>
      </c>
      <c r="H10" t="s">
        <v>45</v>
      </c>
      <c r="I10" t="s">
        <v>46</v>
      </c>
      <c r="J10" t="s">
        <v>47</v>
      </c>
      <c r="K10" t="s">
        <v>48</v>
      </c>
      <c r="L10">
        <v>1997</v>
      </c>
      <c r="M10" s="4">
        <v>22815</v>
      </c>
      <c r="N10">
        <v>350</v>
      </c>
      <c r="O10" t="s">
        <v>49</v>
      </c>
    </row>
    <row r="11" spans="1:16">
      <c r="A11" s="8" t="s">
        <v>50</v>
      </c>
      <c r="B11" s="2" t="s">
        <v>13</v>
      </c>
      <c r="C11" s="2" t="s">
        <v>13</v>
      </c>
      <c r="D11" s="2" t="s">
        <v>13</v>
      </c>
      <c r="E11" s="2" t="s">
        <v>13</v>
      </c>
      <c r="F11" s="2" t="s">
        <v>13</v>
      </c>
      <c r="G11" s="2">
        <f t="shared" si="0"/>
        <v>5</v>
      </c>
      <c r="H11" t="s">
        <v>51</v>
      </c>
      <c r="I11" t="s">
        <v>15</v>
      </c>
      <c r="J11" t="s">
        <v>52</v>
      </c>
      <c r="K11" t="s">
        <v>17</v>
      </c>
      <c r="L11">
        <v>1993</v>
      </c>
      <c r="M11" s="4">
        <v>13000</v>
      </c>
      <c r="N11">
        <v>140</v>
      </c>
      <c r="O11" t="s">
        <v>53</v>
      </c>
    </row>
    <row r="12" spans="1:16">
      <c r="A12" s="8" t="s">
        <v>54</v>
      </c>
      <c r="B12" s="2" t="s">
        <v>13</v>
      </c>
      <c r="C12" s="2" t="s">
        <v>13</v>
      </c>
      <c r="D12" s="2" t="s">
        <v>13</v>
      </c>
      <c r="E12" s="2" t="s">
        <v>13</v>
      </c>
      <c r="F12" s="2" t="s">
        <v>13</v>
      </c>
      <c r="G12" s="2">
        <f t="shared" si="0"/>
        <v>5</v>
      </c>
      <c r="H12" t="s">
        <v>55</v>
      </c>
      <c r="I12" t="s">
        <v>15</v>
      </c>
      <c r="J12" t="s">
        <v>56</v>
      </c>
      <c r="K12" t="s">
        <v>17</v>
      </c>
      <c r="L12">
        <v>2004</v>
      </c>
      <c r="M12" s="4">
        <v>218259</v>
      </c>
      <c r="N12">
        <v>1326</v>
      </c>
      <c r="O12" t="s">
        <v>57</v>
      </c>
    </row>
    <row r="13" spans="1:16">
      <c r="A13" s="7" t="s">
        <v>58</v>
      </c>
      <c r="B13" s="2" t="s">
        <v>13</v>
      </c>
      <c r="C13" s="2"/>
      <c r="D13" s="2"/>
      <c r="E13" s="2"/>
      <c r="F13" s="2"/>
      <c r="G13" s="2">
        <f t="shared" si="0"/>
        <v>1</v>
      </c>
      <c r="H13" t="s">
        <v>59</v>
      </c>
      <c r="I13" t="s">
        <v>60</v>
      </c>
      <c r="J13" t="s">
        <v>61</v>
      </c>
      <c r="K13" t="s">
        <v>62</v>
      </c>
      <c r="L13">
        <v>1990</v>
      </c>
      <c r="M13" s="4">
        <v>16038</v>
      </c>
      <c r="N13">
        <v>200</v>
      </c>
      <c r="O13" t="s">
        <v>63</v>
      </c>
    </row>
    <row r="14" spans="1:16">
      <c r="A14" s="1" t="s">
        <v>64</v>
      </c>
      <c r="B14" s="2"/>
      <c r="C14" s="2"/>
      <c r="D14" s="2"/>
      <c r="E14" s="2" t="s">
        <v>13</v>
      </c>
      <c r="F14" s="2" t="s">
        <v>13</v>
      </c>
      <c r="G14" s="2">
        <f t="shared" si="0"/>
        <v>2</v>
      </c>
      <c r="H14" t="s">
        <v>65</v>
      </c>
      <c r="I14" t="s">
        <v>37</v>
      </c>
      <c r="J14" t="s">
        <v>66</v>
      </c>
      <c r="K14" t="s">
        <v>17</v>
      </c>
      <c r="L14">
        <v>1992</v>
      </c>
      <c r="M14" s="4"/>
      <c r="O14" t="s">
        <v>67</v>
      </c>
    </row>
    <row r="15" spans="1:16">
      <c r="A15" s="7" t="s">
        <v>68</v>
      </c>
      <c r="B15" s="2" t="s">
        <v>13</v>
      </c>
      <c r="C15" s="2" t="s">
        <v>13</v>
      </c>
      <c r="D15" s="2"/>
      <c r="E15" s="2"/>
      <c r="F15" s="2"/>
      <c r="G15" s="2">
        <f t="shared" si="0"/>
        <v>2</v>
      </c>
      <c r="H15" t="s">
        <v>69</v>
      </c>
      <c r="I15" t="s">
        <v>70</v>
      </c>
      <c r="J15" t="s">
        <v>71</v>
      </c>
      <c r="K15" t="s">
        <v>72</v>
      </c>
      <c r="L15">
        <v>1989</v>
      </c>
      <c r="M15" s="4">
        <v>20865</v>
      </c>
      <c r="N15">
        <v>550</v>
      </c>
      <c r="O15" t="s">
        <v>73</v>
      </c>
    </row>
    <row r="16" spans="1:16">
      <c r="A16" s="7" t="s">
        <v>74</v>
      </c>
      <c r="B16" s="2" t="s">
        <v>13</v>
      </c>
      <c r="C16" s="2" t="s">
        <v>13</v>
      </c>
      <c r="D16" s="2"/>
      <c r="E16" s="2"/>
      <c r="F16" s="2"/>
      <c r="G16" s="2">
        <f t="shared" si="0"/>
        <v>2</v>
      </c>
      <c r="H16" t="s">
        <v>75</v>
      </c>
      <c r="I16" t="s">
        <v>15</v>
      </c>
      <c r="J16" t="s">
        <v>76</v>
      </c>
      <c r="K16" t="s">
        <v>17</v>
      </c>
      <c r="L16">
        <v>2016</v>
      </c>
      <c r="M16" s="4">
        <v>15572</v>
      </c>
      <c r="N16">
        <v>108</v>
      </c>
      <c r="O16" t="s">
        <v>77</v>
      </c>
    </row>
    <row r="17" spans="1:15">
      <c r="A17" s="7" t="s">
        <v>78</v>
      </c>
      <c r="B17" s="2" t="s">
        <v>13</v>
      </c>
      <c r="C17" s="2" t="s">
        <v>13</v>
      </c>
      <c r="D17" s="2" t="s">
        <v>13</v>
      </c>
      <c r="E17" s="2" t="s">
        <v>13</v>
      </c>
      <c r="F17" s="2"/>
      <c r="G17" s="2">
        <f t="shared" si="0"/>
        <v>4</v>
      </c>
      <c r="H17" t="s">
        <v>79</v>
      </c>
      <c r="I17" t="s">
        <v>80</v>
      </c>
      <c r="J17" t="s">
        <v>81</v>
      </c>
      <c r="K17" t="s">
        <v>48</v>
      </c>
      <c r="L17">
        <v>1995</v>
      </c>
      <c r="M17" s="4">
        <v>33000</v>
      </c>
      <c r="N17">
        <v>202</v>
      </c>
      <c r="O17" t="s">
        <v>82</v>
      </c>
    </row>
    <row r="18" spans="1:15">
      <c r="A18" s="7" t="s">
        <v>83</v>
      </c>
      <c r="B18" s="2" t="s">
        <v>13</v>
      </c>
      <c r="C18" s="2" t="s">
        <v>13</v>
      </c>
      <c r="D18" s="2"/>
      <c r="E18" s="2"/>
      <c r="F18" s="2"/>
      <c r="G18" s="2">
        <f t="shared" si="0"/>
        <v>2</v>
      </c>
      <c r="H18" t="s">
        <v>84</v>
      </c>
      <c r="I18" t="s">
        <v>15</v>
      </c>
      <c r="J18" t="s">
        <v>85</v>
      </c>
      <c r="K18" t="s">
        <v>17</v>
      </c>
      <c r="L18">
        <v>1991</v>
      </c>
      <c r="M18" s="4"/>
      <c r="O18" t="s">
        <v>86</v>
      </c>
    </row>
    <row r="19" spans="1:15">
      <c r="A19" s="7" t="s">
        <v>87</v>
      </c>
      <c r="B19" s="2" t="s">
        <v>13</v>
      </c>
      <c r="C19" s="2" t="s">
        <v>13</v>
      </c>
      <c r="D19" s="2" t="s">
        <v>13</v>
      </c>
      <c r="E19" s="2"/>
      <c r="F19" s="2"/>
      <c r="G19" s="2">
        <f t="shared" si="0"/>
        <v>3</v>
      </c>
      <c r="H19" t="s">
        <v>88</v>
      </c>
      <c r="I19" t="s">
        <v>80</v>
      </c>
      <c r="J19" t="s">
        <v>89</v>
      </c>
      <c r="K19" t="s">
        <v>48</v>
      </c>
      <c r="L19">
        <v>1990</v>
      </c>
      <c r="M19" s="4"/>
      <c r="O19" t="s">
        <v>90</v>
      </c>
    </row>
    <row r="20" spans="1:15">
      <c r="A20" s="7" t="s">
        <v>91</v>
      </c>
      <c r="B20" s="2" t="s">
        <v>13</v>
      </c>
      <c r="C20" s="2" t="s">
        <v>13</v>
      </c>
      <c r="D20" s="2" t="s">
        <v>13</v>
      </c>
      <c r="E20" s="2" t="s">
        <v>13</v>
      </c>
      <c r="F20" s="2"/>
      <c r="G20" s="2">
        <f t="shared" si="0"/>
        <v>4</v>
      </c>
      <c r="H20" t="s">
        <v>92</v>
      </c>
      <c r="I20" t="s">
        <v>15</v>
      </c>
      <c r="J20" t="s">
        <v>93</v>
      </c>
      <c r="K20" t="s">
        <v>17</v>
      </c>
      <c r="L20">
        <v>1992</v>
      </c>
      <c r="M20" s="4"/>
      <c r="O20" t="s">
        <v>94</v>
      </c>
    </row>
    <row r="21" spans="1:15">
      <c r="A21" s="1" t="s">
        <v>95</v>
      </c>
      <c r="B21" s="2"/>
      <c r="C21" s="2" t="s">
        <v>13</v>
      </c>
      <c r="D21" s="2"/>
      <c r="E21" s="2"/>
      <c r="F21" s="2"/>
      <c r="G21" s="2">
        <f t="shared" si="0"/>
        <v>1</v>
      </c>
      <c r="H21" t="s">
        <v>96</v>
      </c>
      <c r="I21" t="s">
        <v>15</v>
      </c>
      <c r="J21" t="s">
        <v>97</v>
      </c>
      <c r="K21" t="s">
        <v>17</v>
      </c>
      <c r="L21">
        <v>1997</v>
      </c>
      <c r="M21" s="4">
        <v>23536000</v>
      </c>
      <c r="N21">
        <v>180</v>
      </c>
      <c r="O21" t="s">
        <v>98</v>
      </c>
    </row>
    <row r="22" spans="1:15">
      <c r="A22" s="7" t="s">
        <v>99</v>
      </c>
      <c r="B22" s="2" t="s">
        <v>13</v>
      </c>
      <c r="C22" s="2" t="s">
        <v>13</v>
      </c>
      <c r="D22" s="2" t="s">
        <v>13</v>
      </c>
      <c r="E22" s="2"/>
      <c r="F22" s="2"/>
      <c r="G22" s="2">
        <f t="shared" si="0"/>
        <v>3</v>
      </c>
      <c r="H22" t="s">
        <v>100</v>
      </c>
      <c r="I22" t="s">
        <v>15</v>
      </c>
      <c r="J22" t="s">
        <v>101</v>
      </c>
      <c r="K22" t="s">
        <v>17</v>
      </c>
      <c r="L22">
        <v>1994</v>
      </c>
      <c r="M22" s="4"/>
      <c r="O22" t="s">
        <v>102</v>
      </c>
    </row>
    <row r="23" spans="1:15">
      <c r="A23" s="7" t="s">
        <v>103</v>
      </c>
      <c r="B23" s="2" t="s">
        <v>13</v>
      </c>
      <c r="C23" s="2"/>
      <c r="D23" s="2"/>
      <c r="E23" s="2"/>
      <c r="F23" s="2"/>
      <c r="G23" s="2">
        <f t="shared" si="0"/>
        <v>1</v>
      </c>
      <c r="H23" t="s">
        <v>104</v>
      </c>
      <c r="I23" t="s">
        <v>105</v>
      </c>
      <c r="J23" t="s">
        <v>106</v>
      </c>
      <c r="K23" t="s">
        <v>107</v>
      </c>
      <c r="L23">
        <v>1991</v>
      </c>
      <c r="M23" s="4">
        <v>7021</v>
      </c>
      <c r="N23">
        <v>224</v>
      </c>
      <c r="O23" t="s">
        <v>108</v>
      </c>
    </row>
    <row r="24" spans="1:15">
      <c r="A24" s="1" t="s">
        <v>109</v>
      </c>
      <c r="B24" s="2"/>
      <c r="C24" s="2"/>
      <c r="D24" s="2" t="s">
        <v>13</v>
      </c>
      <c r="E24" s="2" t="s">
        <v>13</v>
      </c>
      <c r="F24" s="2" t="s">
        <v>13</v>
      </c>
      <c r="G24" s="2">
        <f t="shared" si="0"/>
        <v>3</v>
      </c>
      <c r="H24" t="s">
        <v>110</v>
      </c>
      <c r="I24" t="s">
        <v>15</v>
      </c>
      <c r="J24" t="s">
        <v>111</v>
      </c>
      <c r="K24" t="s">
        <v>17</v>
      </c>
      <c r="L24">
        <v>1999</v>
      </c>
      <c r="M24" s="4"/>
      <c r="O24" t="s">
        <v>112</v>
      </c>
    </row>
    <row r="25" spans="1:15">
      <c r="A25" s="7" t="s">
        <v>113</v>
      </c>
      <c r="B25" s="2" t="s">
        <v>13</v>
      </c>
      <c r="C25" s="2" t="s">
        <v>13</v>
      </c>
      <c r="D25" s="2"/>
      <c r="E25" s="2"/>
      <c r="F25" s="2"/>
      <c r="G25" s="2">
        <f t="shared" si="0"/>
        <v>2</v>
      </c>
      <c r="H25" t="s">
        <v>114</v>
      </c>
      <c r="I25" t="s">
        <v>46</v>
      </c>
      <c r="J25" t="s">
        <v>115</v>
      </c>
      <c r="K25" t="s">
        <v>48</v>
      </c>
      <c r="L25">
        <v>1990</v>
      </c>
      <c r="M25" s="4">
        <v>12126</v>
      </c>
      <c r="N25">
        <v>200</v>
      </c>
      <c r="O25" t="s">
        <v>116</v>
      </c>
    </row>
    <row r="26" spans="1:15">
      <c r="A26" s="7" t="s">
        <v>117</v>
      </c>
      <c r="B26" s="2" t="s">
        <v>13</v>
      </c>
      <c r="C26" s="2"/>
      <c r="D26" s="2"/>
      <c r="E26" s="2"/>
      <c r="F26" s="2"/>
      <c r="G26" s="2">
        <f t="shared" si="0"/>
        <v>1</v>
      </c>
      <c r="H26" t="s">
        <v>118</v>
      </c>
      <c r="I26" t="s">
        <v>70</v>
      </c>
      <c r="J26" t="s">
        <v>119</v>
      </c>
      <c r="K26" t="s">
        <v>72</v>
      </c>
      <c r="L26">
        <v>1967</v>
      </c>
      <c r="M26" s="4">
        <v>7700000</v>
      </c>
      <c r="N26">
        <v>250</v>
      </c>
      <c r="O26" t="s">
        <v>120</v>
      </c>
    </row>
    <row r="27" spans="1:15">
      <c r="A27" s="8" t="s">
        <v>121</v>
      </c>
      <c r="B27" s="2" t="s">
        <v>13</v>
      </c>
      <c r="C27" s="2" t="s">
        <v>13</v>
      </c>
      <c r="D27" s="2" t="s">
        <v>13</v>
      </c>
      <c r="E27" s="2" t="s">
        <v>13</v>
      </c>
      <c r="F27" s="2" t="s">
        <v>13</v>
      </c>
      <c r="G27" s="2">
        <f t="shared" si="0"/>
        <v>5</v>
      </c>
      <c r="H27" t="s">
        <v>122</v>
      </c>
      <c r="I27" t="s">
        <v>15</v>
      </c>
      <c r="J27" t="s">
        <v>123</v>
      </c>
      <c r="K27" t="s">
        <v>17</v>
      </c>
      <c r="L27">
        <v>1980</v>
      </c>
      <c r="M27" s="4">
        <v>38126013</v>
      </c>
      <c r="N27">
        <v>319</v>
      </c>
      <c r="O27" t="s">
        <v>124</v>
      </c>
    </row>
    <row r="28" spans="1:15">
      <c r="A28" s="7" t="s">
        <v>125</v>
      </c>
      <c r="B28" s="2" t="s">
        <v>13</v>
      </c>
      <c r="C28" s="2" t="s">
        <v>13</v>
      </c>
      <c r="D28" s="2"/>
      <c r="E28" s="2"/>
      <c r="F28" s="2"/>
      <c r="G28" s="2">
        <f t="shared" si="0"/>
        <v>2</v>
      </c>
      <c r="H28" t="s">
        <v>126</v>
      </c>
      <c r="I28" t="s">
        <v>15</v>
      </c>
      <c r="J28" t="s">
        <v>127</v>
      </c>
      <c r="K28" t="s">
        <v>17</v>
      </c>
      <c r="L28">
        <v>2003</v>
      </c>
      <c r="M28" s="4"/>
      <c r="O28" t="s">
        <v>128</v>
      </c>
    </row>
    <row r="29" spans="1:15">
      <c r="A29" s="7" t="s">
        <v>129</v>
      </c>
      <c r="B29" s="2" t="s">
        <v>13</v>
      </c>
      <c r="C29" s="2" t="s">
        <v>13</v>
      </c>
      <c r="D29" s="2" t="s">
        <v>13</v>
      </c>
      <c r="E29" s="2" t="s">
        <v>13</v>
      </c>
      <c r="F29" s="2"/>
      <c r="G29" s="2">
        <f t="shared" si="0"/>
        <v>4</v>
      </c>
      <c r="H29" t="s">
        <v>130</v>
      </c>
      <c r="I29" t="s">
        <v>131</v>
      </c>
      <c r="J29" t="s">
        <v>132</v>
      </c>
      <c r="K29" t="s">
        <v>133</v>
      </c>
      <c r="L29">
        <v>1985</v>
      </c>
      <c r="M29" s="4">
        <v>9700</v>
      </c>
      <c r="N29">
        <v>340</v>
      </c>
      <c r="O29" t="s">
        <v>134</v>
      </c>
    </row>
    <row r="30" spans="1:15">
      <c r="A30" s="7" t="s">
        <v>135</v>
      </c>
      <c r="B30" s="2" t="s">
        <v>13</v>
      </c>
      <c r="C30" s="2" t="s">
        <v>13</v>
      </c>
      <c r="D30" s="2"/>
      <c r="E30" s="2"/>
      <c r="F30" s="2"/>
      <c r="G30" s="2">
        <f t="shared" si="0"/>
        <v>2</v>
      </c>
      <c r="H30" t="s">
        <v>136</v>
      </c>
      <c r="I30" t="s">
        <v>137</v>
      </c>
      <c r="J30" t="s">
        <v>138</v>
      </c>
      <c r="K30" t="s">
        <v>107</v>
      </c>
      <c r="L30">
        <v>1996</v>
      </c>
      <c r="M30" s="4"/>
      <c r="O30" t="s">
        <v>139</v>
      </c>
    </row>
    <row r="31" spans="1:15" ht="14.45" customHeight="1">
      <c r="A31" s="8" t="s">
        <v>140</v>
      </c>
      <c r="B31" s="2" t="s">
        <v>13</v>
      </c>
      <c r="C31" s="2" t="s">
        <v>13</v>
      </c>
      <c r="D31" s="2" t="s">
        <v>13</v>
      </c>
      <c r="E31" s="2" t="s">
        <v>13</v>
      </c>
      <c r="F31" s="2" t="s">
        <v>13</v>
      </c>
      <c r="G31" s="2">
        <f t="shared" si="0"/>
        <v>5</v>
      </c>
      <c r="H31" t="s">
        <v>141</v>
      </c>
      <c r="I31" t="s">
        <v>15</v>
      </c>
      <c r="J31" t="s">
        <v>142</v>
      </c>
      <c r="K31" t="s">
        <v>17</v>
      </c>
      <c r="L31">
        <v>1994</v>
      </c>
      <c r="M31" s="4">
        <v>9400</v>
      </c>
      <c r="N31">
        <v>150</v>
      </c>
      <c r="O31" s="6" t="s">
        <v>143</v>
      </c>
    </row>
    <row r="32" spans="1:15">
      <c r="A32" s="8" t="s">
        <v>144</v>
      </c>
      <c r="B32" s="2" t="s">
        <v>13</v>
      </c>
      <c r="C32" s="2" t="s">
        <v>13</v>
      </c>
      <c r="D32" s="2" t="s">
        <v>13</v>
      </c>
      <c r="E32" s="2" t="s">
        <v>13</v>
      </c>
      <c r="F32" s="2" t="s">
        <v>13</v>
      </c>
      <c r="G32" s="2">
        <f t="shared" si="0"/>
        <v>5</v>
      </c>
      <c r="H32" t="s">
        <v>145</v>
      </c>
      <c r="I32" t="s">
        <v>146</v>
      </c>
      <c r="J32" t="s">
        <v>147</v>
      </c>
      <c r="K32" t="s">
        <v>62</v>
      </c>
      <c r="L32">
        <v>1986</v>
      </c>
      <c r="M32" s="4"/>
      <c r="O32" t="s">
        <v>148</v>
      </c>
    </row>
    <row r="33" spans="1:15" ht="14.45" customHeight="1">
      <c r="A33" s="7" t="s">
        <v>149</v>
      </c>
      <c r="B33" s="2" t="s">
        <v>13</v>
      </c>
      <c r="C33" s="2" t="s">
        <v>13</v>
      </c>
      <c r="D33" s="2" t="s">
        <v>13</v>
      </c>
      <c r="E33" s="2"/>
      <c r="F33" s="2"/>
      <c r="G33" s="2">
        <f t="shared" si="0"/>
        <v>3</v>
      </c>
      <c r="H33" t="s">
        <v>150</v>
      </c>
      <c r="I33" t="s">
        <v>37</v>
      </c>
      <c r="J33" t="s">
        <v>151</v>
      </c>
      <c r="K33" t="s">
        <v>17</v>
      </c>
      <c r="L33">
        <v>1996</v>
      </c>
      <c r="M33" s="4"/>
      <c r="O33" s="6" t="s">
        <v>152</v>
      </c>
    </row>
    <row r="34" spans="1:15">
      <c r="A34" s="7" t="s">
        <v>153</v>
      </c>
      <c r="B34" s="2" t="s">
        <v>13</v>
      </c>
      <c r="C34" s="2" t="s">
        <v>13</v>
      </c>
      <c r="D34" s="2" t="s">
        <v>13</v>
      </c>
      <c r="E34" s="2"/>
      <c r="F34" s="2"/>
      <c r="G34" s="2">
        <f t="shared" si="0"/>
        <v>3</v>
      </c>
      <c r="H34" t="s">
        <v>154</v>
      </c>
      <c r="I34" t="s">
        <v>146</v>
      </c>
      <c r="J34" t="s">
        <v>155</v>
      </c>
      <c r="K34" t="s">
        <v>62</v>
      </c>
      <c r="L34">
        <v>1997</v>
      </c>
      <c r="M34" s="4">
        <v>98710</v>
      </c>
      <c r="N34">
        <v>94</v>
      </c>
      <c r="O34" t="s">
        <v>156</v>
      </c>
    </row>
    <row r="35" spans="1:15">
      <c r="A35" s="7" t="s">
        <v>157</v>
      </c>
      <c r="B35" s="2" t="s">
        <v>13</v>
      </c>
      <c r="C35" s="2" t="s">
        <v>13</v>
      </c>
      <c r="D35" s="2" t="s">
        <v>13</v>
      </c>
      <c r="E35" s="2"/>
      <c r="F35" s="2"/>
      <c r="G35" s="2">
        <f t="shared" si="0"/>
        <v>3</v>
      </c>
      <c r="H35" t="s">
        <v>158</v>
      </c>
      <c r="I35" t="s">
        <v>37</v>
      </c>
      <c r="J35" t="s">
        <v>159</v>
      </c>
      <c r="K35" t="s">
        <v>17</v>
      </c>
      <c r="L35">
        <v>1999</v>
      </c>
      <c r="M35" s="4"/>
      <c r="O35" t="s">
        <v>160</v>
      </c>
    </row>
    <row r="36" spans="1:15">
      <c r="A36" s="8" t="s">
        <v>161</v>
      </c>
      <c r="B36" s="2" t="s">
        <v>13</v>
      </c>
      <c r="C36" s="2" t="s">
        <v>13</v>
      </c>
      <c r="D36" s="2" t="s">
        <v>13</v>
      </c>
      <c r="E36" s="2" t="s">
        <v>13</v>
      </c>
      <c r="F36" s="2" t="s">
        <v>13</v>
      </c>
      <c r="G36" s="2">
        <f t="shared" si="0"/>
        <v>5</v>
      </c>
      <c r="H36" t="s">
        <v>162</v>
      </c>
      <c r="I36" t="s">
        <v>163</v>
      </c>
      <c r="J36" t="s">
        <v>164</v>
      </c>
      <c r="K36" t="s">
        <v>133</v>
      </c>
      <c r="L36">
        <v>1989</v>
      </c>
      <c r="M36" s="4">
        <v>107802</v>
      </c>
      <c r="N36">
        <v>1034</v>
      </c>
      <c r="O36" t="s">
        <v>165</v>
      </c>
    </row>
    <row r="37" spans="1:15">
      <c r="A37" s="7" t="s">
        <v>166</v>
      </c>
      <c r="B37" s="2" t="s">
        <v>13</v>
      </c>
      <c r="C37" s="2" t="s">
        <v>13</v>
      </c>
      <c r="D37" s="2" t="s">
        <v>13</v>
      </c>
      <c r="E37" s="2" t="s">
        <v>13</v>
      </c>
      <c r="F37" s="2"/>
      <c r="G37" s="2">
        <f t="shared" si="0"/>
        <v>4</v>
      </c>
      <c r="H37" t="s">
        <v>167</v>
      </c>
      <c r="I37" t="s">
        <v>37</v>
      </c>
      <c r="J37" t="s">
        <v>168</v>
      </c>
      <c r="K37" t="s">
        <v>17</v>
      </c>
      <c r="L37">
        <v>2002</v>
      </c>
      <c r="M37" s="4"/>
      <c r="O37" t="s">
        <v>169</v>
      </c>
    </row>
  </sheetData>
  <sortState xmlns:xlrd2="http://schemas.microsoft.com/office/spreadsheetml/2017/richdata2" ref="A3:F37">
    <sortCondition ref="A3:A37"/>
  </sortState>
  <mergeCells count="10">
    <mergeCell ref="B1:F1"/>
    <mergeCell ref="A1:A2"/>
    <mergeCell ref="H1:H2"/>
    <mergeCell ref="O1:O2"/>
    <mergeCell ref="G1:G2"/>
    <mergeCell ref="P1:P2"/>
    <mergeCell ref="I1:K1"/>
    <mergeCell ref="L1:L2"/>
    <mergeCell ref="M1:M2"/>
    <mergeCell ref="N1:N2"/>
  </mergeCells>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Deloitte 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Miko, Johanna</dc:creator>
  <cp:keywords/>
  <dc:description/>
  <cp:lastModifiedBy>Fulop, Milan</cp:lastModifiedBy>
  <cp:revision/>
  <dcterms:created xsi:type="dcterms:W3CDTF">2026-09-15T06:31:39Z</dcterms:created>
  <dcterms:modified xsi:type="dcterms:W3CDTF">2026-10-05T09:43:00Z</dcterms:modified>
  <cp:category/>
  <cp:contentStatus/>
</cp:coreProperties>
</file>